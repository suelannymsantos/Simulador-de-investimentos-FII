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xr:revisionPtr revIDLastSave="0" documentId="8_{94408974-CCD5-3B47-AD4C-A211822F7643}" xr6:coauthVersionLast="47" xr6:coauthVersionMax="47" xr10:uidLastSave="{00000000-0000-0000-0000-000000000000}"/>
  <bookViews>
    <workbookView xWindow="0" yWindow="0" windowWidth="21996" windowHeight="8807" tabRatio="500" xr2:uid="{00000000-000D-0000-FFFF-FFFF00000000}"/>
  </bookViews>
  <sheets>
    <sheet name="APP" sheetId="1" r:id="rId1"/>
    <sheet name="Planilha2" sheetId="3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3" l="1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H5" i="3"/>
  <c r="A5" i="3"/>
  <c r="A4" i="3"/>
  <c r="A3" i="3"/>
  <c r="C41" i="1"/>
  <c r="D41" i="1"/>
  <c r="C40" i="1"/>
  <c r="D40" i="1"/>
  <c r="C39" i="1"/>
  <c r="D39" i="1"/>
  <c r="C38" i="1"/>
  <c r="D38" i="1"/>
  <c r="C37" i="1"/>
  <c r="D37" i="1"/>
  <c r="C36" i="1"/>
  <c r="D36" i="1"/>
  <c r="D42" i="1"/>
  <c r="C33" i="1"/>
  <c r="D28" i="1"/>
  <c r="C28" i="1"/>
  <c r="D27" i="1"/>
  <c r="C27" i="1"/>
  <c r="D26" i="1"/>
  <c r="C26" i="1"/>
  <c r="D25" i="1"/>
  <c r="C25" i="1"/>
  <c r="D24" i="1"/>
  <c r="C24" i="1"/>
  <c r="D21" i="1"/>
  <c r="D20" i="1"/>
  <c r="D14" i="1"/>
</calcChain>
</file>

<file path=xl/sharedStrings.xml><?xml version="1.0" encoding="utf-8"?>
<sst xmlns="http://schemas.openxmlformats.org/spreadsheetml/2006/main" count="71" uniqueCount="34">
  <si>
    <t>CONFIGURAÇÕES</t>
  </si>
  <si>
    <t>Sálario</t>
  </si>
  <si>
    <t>Rendimento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</si>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</sst>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#,##0.00;[Red]\-&quot;R$&quot;#,##0.00"/>
    <numFmt numFmtId="164" formatCode="_-&quot;R$&quot;\ * #,##0.00_-;\-&quot;R$&quot;\ * #,##0.00_-;_-&quot;R$&quot;\ * &quot;-&quot;??_-;_-@_-"/>
    <numFmt numFmtId="165" formatCode="&quot;R$&quot;\ #,##0.00_);[Red]\(&quot;R$&quot;\ #,###.00\)"/>
  </numFmts>
  <fonts count="11" x14ac:knownFonts="1"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1"/>
      <color rgb="FF9C6500"/>
      <name val="Calibri"/>
      <scheme val="minor"/>
    </font>
    <font>
      <b/>
      <sz val="20"/>
      <color theme="0"/>
      <name val="Calibri Light"/>
      <charset val="134"/>
      <scheme val="maj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 Light"/>
      <charset val="134"/>
      <scheme val="major"/>
    </font>
    <font>
      <sz val="12"/>
      <color rgb="FF9C6500"/>
      <name val="Calibri Light"/>
      <scheme val="major"/>
    </font>
    <font>
      <sz val="12"/>
      <color rgb="FF9C6500"/>
      <name val="Calibri"/>
      <scheme val="minor"/>
    </font>
    <font>
      <b/>
      <sz val="12"/>
      <color theme="1"/>
      <name val="Calibri Light"/>
      <charset val="134"/>
      <scheme val="maj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medium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auto="1"/>
      </right>
      <top style="medium">
        <color auto="1"/>
      </top>
      <bottom style="medium">
        <color theme="0" tint="-4.9989318521683403E-2"/>
      </bottom>
      <diagonal/>
    </border>
    <border>
      <left style="medium">
        <color auto="1"/>
      </left>
      <right style="thin">
        <color theme="0" tint="-0.249977111117893"/>
      </right>
      <top style="medium">
        <color theme="0" tint="-4.9989318521683403E-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4.9989318521683403E-2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medium">
        <color theme="0" tint="-4.9989318521683403E-2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 style="thin">
        <color theme="0" tint="-4.9989318521683403E-2"/>
      </right>
      <top style="medium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medium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medium">
        <color auto="1"/>
      </top>
      <bottom style="thin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thin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medium">
        <color auto="1"/>
      </right>
      <top style="thin">
        <color theme="0" tint="-4.9989318521683403E-2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164" fontId="1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3" borderId="0" xfId="2">
      <alignment vertical="center"/>
    </xf>
    <xf numFmtId="9" fontId="2" fillId="3" borderId="0" xfId="2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65" fontId="4" fillId="0" borderId="7" xfId="1" applyNumberFormat="1" applyFont="1" applyBorder="1" applyAlignment="1">
      <alignment horizontal="center"/>
    </xf>
    <xf numFmtId="10" fontId="4" fillId="0" borderId="7" xfId="0" applyNumberFormat="1" applyFont="1" applyFill="1" applyBorder="1" applyAlignment="1" applyProtection="1">
      <alignment horizontal="center"/>
    </xf>
    <xf numFmtId="165" fontId="4" fillId="6" borderId="10" xfId="0" applyNumberFormat="1" applyFont="1" applyFill="1" applyBorder="1" applyAlignment="1">
      <alignment horizontal="center"/>
    </xf>
    <xf numFmtId="165" fontId="5" fillId="0" borderId="16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/>
    </xf>
    <xf numFmtId="8" fontId="5" fillId="8" borderId="19" xfId="0" applyNumberFormat="1" applyFont="1" applyFill="1" applyBorder="1" applyAlignment="1">
      <alignment horizontal="center"/>
    </xf>
    <xf numFmtId="8" fontId="5" fillId="8" borderId="22" xfId="0" applyNumberFormat="1" applyFont="1" applyFill="1" applyBorder="1" applyAlignment="1">
      <alignment horizontal="center"/>
    </xf>
    <xf numFmtId="0" fontId="6" fillId="7" borderId="2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4" fillId="8" borderId="26" xfId="0" applyFont="1" applyFill="1" applyBorder="1" applyAlignment="1">
      <alignment horizontal="left" indent="3"/>
    </xf>
    <xf numFmtId="165" fontId="4" fillId="8" borderId="27" xfId="0" applyNumberFormat="1" applyFont="1" applyFill="1" applyBorder="1" applyAlignment="1">
      <alignment horizontal="center"/>
    </xf>
    <xf numFmtId="165" fontId="4" fillId="8" borderId="28" xfId="0" applyNumberFormat="1" applyFont="1" applyFill="1" applyBorder="1" applyAlignment="1">
      <alignment horizontal="center"/>
    </xf>
    <xf numFmtId="0" fontId="4" fillId="8" borderId="29" xfId="0" applyFont="1" applyFill="1" applyBorder="1" applyAlignment="1">
      <alignment horizontal="left" indent="3"/>
    </xf>
    <xf numFmtId="165" fontId="4" fillId="8" borderId="30" xfId="0" applyNumberFormat="1" applyFont="1" applyFill="1" applyBorder="1" applyAlignment="1">
      <alignment horizontal="center"/>
    </xf>
    <xf numFmtId="165" fontId="4" fillId="8" borderId="31" xfId="0" applyNumberFormat="1" applyFont="1" applyFill="1" applyBorder="1" applyAlignment="1">
      <alignment horizontal="center"/>
    </xf>
    <xf numFmtId="0" fontId="7" fillId="3" borderId="0" xfId="2" applyFont="1">
      <alignment vertical="center"/>
    </xf>
    <xf numFmtId="0" fontId="7" fillId="3" borderId="0" xfId="2" applyFont="1" applyAlignment="1">
      <alignment horizontal="center" vertical="center"/>
    </xf>
    <xf numFmtId="0" fontId="8" fillId="3" borderId="0" xfId="2" applyFont="1">
      <alignment vertical="center"/>
    </xf>
    <xf numFmtId="0" fontId="5" fillId="6" borderId="0" xfId="0" applyFont="1" applyFill="1">
      <alignment vertical="center"/>
    </xf>
    <xf numFmtId="165" fontId="5" fillId="6" borderId="0" xfId="0" applyNumberFormat="1" applyFont="1" applyFill="1" applyAlignment="1">
      <alignment horizontal="center" vertical="center"/>
    </xf>
    <xf numFmtId="0" fontId="4" fillId="6" borderId="0" xfId="0" applyFont="1" applyFill="1">
      <alignment vertical="center"/>
    </xf>
    <xf numFmtId="0" fontId="4" fillId="0" borderId="0" xfId="0" applyFont="1">
      <alignment vertical="center"/>
    </xf>
    <xf numFmtId="0" fontId="9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4" fillId="9" borderId="0" xfId="0" applyFont="1" applyFill="1">
      <alignment vertical="center"/>
    </xf>
    <xf numFmtId="165" fontId="5" fillId="9" borderId="0" xfId="0" applyNumberFormat="1" applyFont="1" applyFill="1" applyAlignment="1">
      <alignment horizontal="center" vertical="center"/>
    </xf>
    <xf numFmtId="164" fontId="10" fillId="0" borderId="0" xfId="1">
      <alignment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left" indent="3"/>
    </xf>
    <xf numFmtId="0" fontId="4" fillId="6" borderId="15" xfId="0" applyFont="1" applyFill="1" applyBorder="1" applyAlignment="1">
      <alignment horizontal="left" indent="3"/>
    </xf>
    <xf numFmtId="0" fontId="4" fillId="6" borderId="17" xfId="0" applyFont="1" applyFill="1" applyBorder="1" applyAlignment="1">
      <alignment horizontal="left" indent="3"/>
    </xf>
    <xf numFmtId="0" fontId="4" fillId="6" borderId="18" xfId="0" applyFont="1" applyFill="1" applyBorder="1" applyAlignment="1">
      <alignment horizontal="left" indent="3"/>
    </xf>
    <xf numFmtId="0" fontId="5" fillId="8" borderId="17" xfId="0" applyFont="1" applyFill="1" applyBorder="1" applyAlignment="1">
      <alignment horizontal="left" indent="3"/>
    </xf>
    <xf numFmtId="0" fontId="5" fillId="8" borderId="18" xfId="0" applyFont="1" applyFill="1" applyBorder="1" applyAlignment="1">
      <alignment horizontal="left" indent="3"/>
    </xf>
    <xf numFmtId="0" fontId="5" fillId="8" borderId="20" xfId="0" applyFont="1" applyFill="1" applyBorder="1" applyAlignment="1">
      <alignment horizontal="left" indent="3"/>
    </xf>
    <xf numFmtId="0" fontId="5" fillId="8" borderId="21" xfId="0" applyFont="1" applyFill="1" applyBorder="1" applyAlignment="1">
      <alignment horizontal="left" indent="3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indent="3"/>
    </xf>
    <xf numFmtId="0" fontId="4" fillId="6" borderId="6" xfId="0" applyFont="1" applyFill="1" applyBorder="1" applyAlignment="1">
      <alignment horizontal="left" indent="3"/>
    </xf>
    <xf numFmtId="0" fontId="4" fillId="6" borderId="8" xfId="0" applyFont="1" applyFill="1" applyBorder="1" applyAlignment="1">
      <alignment horizontal="left" indent="3"/>
    </xf>
    <xf numFmtId="0" fontId="4" fillId="6" borderId="9" xfId="0" applyFont="1" applyFill="1" applyBorder="1" applyAlignment="1">
      <alignment horizontal="left" indent="3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</cellXfs>
  <cellStyles count="3">
    <cellStyle name="Moeda" xfId="1" builtinId="4"/>
    <cellStyle name="Neutro" xfId="2" builtinId="2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42-46DE-947A-2E9C6AE6687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42-46DE-947A-2E9C6AE6687B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42-46DE-947A-2E9C6AE6687B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42-46DE-947A-2E9C6AE6687B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42-46DE-947A-2E9C6AE6687B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42-46DE-947A-2E9C6AE668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42-46DE-947A-2E9C6AE6687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f5f826-7d6c-4131-9666-bc3cb52f6ec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BR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251460</xdr:colOff>
      <xdr:row>0</xdr:row>
      <xdr:rowOff>92710</xdr:rowOff>
    </xdr:from>
    <xdr:to>
      <xdr:col>4</xdr:col>
      <xdr:colOff>253365</xdr:colOff>
      <xdr:row>9</xdr:row>
      <xdr:rowOff>59055</xdr:rowOff>
    </xdr:to>
    <xdr:pic>
      <xdr:nvPicPr>
        <xdr:cNvPr id="4" name="Imagem 3" descr="ChatGPT Image 1 de jan. de 2026, 19_56_0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EFEFE">
                <a:alpha val="100000"/>
              </a:srgbClr>
            </a:clrFrom>
            <a:clrTo>
              <a:srgbClr val="FEFEFE">
                <a:alpha val="100000"/>
                <a:alpha val="0"/>
              </a:srgbClr>
            </a:clrTo>
          </a:clrChange>
        </a:blip>
        <a:srcRect l="15016" t="32814" r="15263" b="37279"/>
        <a:stretch>
          <a:fillRect/>
        </a:stretch>
      </xdr:blipFill>
      <xdr:spPr>
        <a:xfrm>
          <a:off x="251460" y="92710"/>
          <a:ext cx="7042785" cy="1543685"/>
        </a:xfrm>
        <a:prstGeom prst="rect">
          <a:avLst/>
        </a:prstGeom>
      </xdr:spPr>
    </xdr:pic>
    <xdr:clientData/>
  </xdr:twoCellAnchor>
  <xdr:twoCellAnchor>
    <xdr:from>
      <xdr:col>1</xdr:col>
      <xdr:colOff>1413510</xdr:colOff>
      <xdr:row>42</xdr:row>
      <xdr:rowOff>155575</xdr:rowOff>
    </xdr:from>
    <xdr:to>
      <xdr:col>2</xdr:col>
      <xdr:colOff>1402715</xdr:colOff>
      <xdr:row>56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42"/>
  <sheetViews>
    <sheetView showGridLines="0" tabSelected="1" topLeftCell="A4" workbookViewId="0">
      <selection activeCell="C32" sqref="C32"/>
    </sheetView>
  </sheetViews>
  <sheetFormatPr defaultColWidth="0" defaultRowHeight="14.25" x14ac:dyDescent="0.2"/>
  <cols>
    <col min="1" max="1" width="5.76953125" customWidth="1"/>
    <col min="2" max="2" width="50.015625" customWidth="1"/>
    <col min="3" max="3" width="29.7421875" customWidth="1"/>
    <col min="4" max="4" width="17.3125" customWidth="1"/>
    <col min="5" max="8" width="4.2890625" customWidth="1"/>
    <col min="9" max="9" width="16.71875" hidden="1" customWidth="1"/>
    <col min="10" max="10" width="9.46875" hidden="1" customWidth="1"/>
    <col min="11" max="13" width="13.90625" hidden="1" customWidth="1"/>
    <col min="14" max="14" width="8.875" hidden="1" customWidth="1"/>
    <col min="15" max="16384" width="8.875" hidden="1"/>
  </cols>
  <sheetData>
    <row r="4" spans="2:6" x14ac:dyDescent="0.2">
      <c r="F4" s="43"/>
    </row>
    <row r="11" spans="2:6" ht="25.5" x14ac:dyDescent="0.2">
      <c r="B11" s="54" t="s">
        <v>0</v>
      </c>
      <c r="C11" s="55"/>
      <c r="D11" s="56"/>
    </row>
    <row r="12" spans="2:6" ht="15" x14ac:dyDescent="0.2">
      <c r="B12" s="57" t="s">
        <v>1</v>
      </c>
      <c r="C12" s="58"/>
      <c r="D12" s="13">
        <v>2000</v>
      </c>
    </row>
    <row r="13" spans="2:6" ht="15" x14ac:dyDescent="0.2">
      <c r="B13" s="57" t="s">
        <v>2</v>
      </c>
      <c r="C13" s="58"/>
      <c r="D13" s="14">
        <v>6.0000000000000001E-3</v>
      </c>
    </row>
    <row r="14" spans="2:6" ht="15" x14ac:dyDescent="0.2">
      <c r="B14" s="59" t="s">
        <v>3</v>
      </c>
      <c r="C14" s="60"/>
      <c r="D14" s="15">
        <f>salario*30%</f>
        <v>600</v>
      </c>
    </row>
    <row r="16" spans="2:6" ht="30.95" customHeight="1" x14ac:dyDescent="0.2">
      <c r="B16" s="61" t="s">
        <v>4</v>
      </c>
      <c r="C16" s="62"/>
      <c r="D16" s="63"/>
    </row>
    <row r="17" spans="1:5" ht="15" x14ac:dyDescent="0.2">
      <c r="B17" s="46" t="s">
        <v>5</v>
      </c>
      <c r="C17" s="47"/>
      <c r="D17" s="16">
        <v>200</v>
      </c>
    </row>
    <row r="18" spans="1:5" ht="15" x14ac:dyDescent="0.2">
      <c r="B18" s="48" t="s">
        <v>6</v>
      </c>
      <c r="C18" s="49"/>
      <c r="D18" s="17">
        <v>5</v>
      </c>
    </row>
    <row r="19" spans="1:5" ht="15" x14ac:dyDescent="0.2">
      <c r="B19" s="48" t="s">
        <v>7</v>
      </c>
      <c r="C19" s="49"/>
      <c r="D19" s="18">
        <v>1.0789999999999999E-2</v>
      </c>
    </row>
    <row r="20" spans="1:5" ht="15" x14ac:dyDescent="0.2">
      <c r="B20" s="50" t="s">
        <v>8</v>
      </c>
      <c r="C20" s="51"/>
      <c r="D20" s="19">
        <f>FV(taxa_mensal,qtd_anos*12,aporte*-1)</f>
        <v>16755.382799697501</v>
      </c>
    </row>
    <row r="21" spans="1:5" ht="15" x14ac:dyDescent="0.2">
      <c r="B21" s="52" t="s">
        <v>9</v>
      </c>
      <c r="C21" s="53"/>
      <c r="D21" s="20">
        <f>patrimonio*$D$13</f>
        <v>100.532296798185</v>
      </c>
    </row>
    <row r="23" spans="1:5" ht="25.5" x14ac:dyDescent="0.2">
      <c r="B23" s="44" t="s">
        <v>10</v>
      </c>
      <c r="C23" s="45"/>
      <c r="D23" s="21" t="s">
        <v>11</v>
      </c>
      <c r="E23" s="22"/>
    </row>
    <row r="24" spans="1:5" ht="15" x14ac:dyDescent="0.2">
      <c r="A24" s="23">
        <v>2</v>
      </c>
      <c r="B24" s="24" t="s">
        <v>12</v>
      </c>
      <c r="C24" s="25">
        <f>FV($D$19,$A24*12,$D$17*-1)</f>
        <v>5445.5254595290298</v>
      </c>
      <c r="D24" s="26">
        <f>C24*rendimento_carteira</f>
        <v>32.673152757174201</v>
      </c>
    </row>
    <row r="25" spans="1:5" ht="15" x14ac:dyDescent="0.2">
      <c r="A25" s="23">
        <v>5</v>
      </c>
      <c r="B25" s="24" t="s">
        <v>13</v>
      </c>
      <c r="C25" s="25">
        <f>FV($D$19,$A25*12,$D$17*-1)</f>
        <v>16755.382799697501</v>
      </c>
      <c r="D25" s="26">
        <f>C25*rendimento_carteira</f>
        <v>100.532296798185</v>
      </c>
    </row>
    <row r="26" spans="1:5" ht="15" x14ac:dyDescent="0.2">
      <c r="A26" s="23">
        <v>10</v>
      </c>
      <c r="B26" s="24" t="s">
        <v>14</v>
      </c>
      <c r="C26" s="25">
        <f>FV($D$19,$A26*12,$D$17*-1)</f>
        <v>48656.842506034198</v>
      </c>
      <c r="D26" s="26">
        <f>C26*rendimento_carteira</f>
        <v>291.941055036205</v>
      </c>
    </row>
    <row r="27" spans="1:5" ht="15" x14ac:dyDescent="0.2">
      <c r="A27" s="23">
        <v>20</v>
      </c>
      <c r="B27" s="24" t="s">
        <v>15</v>
      </c>
      <c r="C27" s="25">
        <f>FV($D$19,$A27*12,$D$17*-1)</f>
        <v>225039.68001941501</v>
      </c>
      <c r="D27" s="26">
        <f>C27*rendimento_carteira</f>
        <v>1350.23808011649</v>
      </c>
    </row>
    <row r="28" spans="1:5" ht="15" x14ac:dyDescent="0.2">
      <c r="A28" s="23">
        <v>30</v>
      </c>
      <c r="B28" s="27" t="s">
        <v>16</v>
      </c>
      <c r="C28" s="28">
        <f>FV($D$19,$A28*12,$D$17*-1)</f>
        <v>864433.93100093398</v>
      </c>
      <c r="D28" s="29">
        <f>C28*rendimento_carteira</f>
        <v>5186.6035860056099</v>
      </c>
    </row>
    <row r="32" spans="1:5" ht="15" x14ac:dyDescent="0.2">
      <c r="B32" s="30" t="s">
        <v>17</v>
      </c>
      <c r="C32" s="31" t="s">
        <v>18</v>
      </c>
      <c r="D32" s="32"/>
    </row>
    <row r="33" spans="2:4" ht="15" x14ac:dyDescent="0.2">
      <c r="B33" s="33" t="s">
        <v>19</v>
      </c>
      <c r="C33" s="34">
        <f>aporte</f>
        <v>200</v>
      </c>
      <c r="D33" s="35"/>
    </row>
    <row r="34" spans="2:4" ht="15" x14ac:dyDescent="0.2">
      <c r="B34" s="36"/>
      <c r="C34" s="36"/>
      <c r="D34" s="36"/>
    </row>
    <row r="35" spans="2:4" ht="15" x14ac:dyDescent="0.2">
      <c r="B35" s="37" t="s">
        <v>20</v>
      </c>
      <c r="C35" s="37" t="s">
        <v>21</v>
      </c>
      <c r="D35" s="37" t="s">
        <v>22</v>
      </c>
    </row>
    <row r="36" spans="2:4" ht="15" x14ac:dyDescent="0.2">
      <c r="B36" s="38" t="s">
        <v>23</v>
      </c>
      <c r="C36" s="39">
        <f>VLOOKUP($C$32&amp;"-"&amp;B36,Planilha2!$A:$D,4,FALSE)</f>
        <v>0.32</v>
      </c>
      <c r="D36" s="40">
        <f t="shared" ref="D36:D41" si="0">C36*$C$33</f>
        <v>64</v>
      </c>
    </row>
    <row r="37" spans="2:4" ht="15" x14ac:dyDescent="0.2">
      <c r="B37" s="38" t="s">
        <v>24</v>
      </c>
      <c r="C37" s="39">
        <f>VLOOKUP($C$32&amp;"-"&amp;B37,Planilha2!$A:$D,4,FALSE)</f>
        <v>0.35</v>
      </c>
      <c r="D37" s="40">
        <f t="shared" si="0"/>
        <v>70</v>
      </c>
    </row>
    <row r="38" spans="2:4" ht="15" x14ac:dyDescent="0.2">
      <c r="B38" s="38" t="s">
        <v>25</v>
      </c>
      <c r="C38" s="39">
        <f>VLOOKUP($C$32&amp;"-"&amp;B38,Planilha2!$A:$D,4,FALSE)</f>
        <v>0.08</v>
      </c>
      <c r="D38" s="40">
        <f t="shared" si="0"/>
        <v>16</v>
      </c>
    </row>
    <row r="39" spans="2:4" ht="15" x14ac:dyDescent="0.2">
      <c r="B39" s="38" t="s">
        <v>26</v>
      </c>
      <c r="C39" s="39">
        <f>VLOOKUP($C$32&amp;"-"&amp;B39,Planilha2!$A:$D,4,FALSE)</f>
        <v>0.05</v>
      </c>
      <c r="D39" s="40">
        <f t="shared" si="0"/>
        <v>10</v>
      </c>
    </row>
    <row r="40" spans="2:4" ht="15" x14ac:dyDescent="0.2">
      <c r="B40" s="38" t="s">
        <v>27</v>
      </c>
      <c r="C40" s="39">
        <f>VLOOKUP($C$32&amp;"-"&amp;B40,Planilha2!$A:$D,4,FALSE)</f>
        <v>0.1</v>
      </c>
      <c r="D40" s="40">
        <f t="shared" si="0"/>
        <v>20</v>
      </c>
    </row>
    <row r="41" spans="2:4" ht="15" x14ac:dyDescent="0.2">
      <c r="B41" s="38" t="s">
        <v>28</v>
      </c>
      <c r="C41" s="39">
        <f>VLOOKUP($C$32&amp;"-"&amp;B41,Planilha2!$A:$D,4,FALSE)</f>
        <v>0.1</v>
      </c>
      <c r="D41" s="40">
        <f t="shared" si="0"/>
        <v>20</v>
      </c>
    </row>
    <row r="42" spans="2:4" ht="15" x14ac:dyDescent="0.2">
      <c r="B42" s="41"/>
      <c r="C42" s="41"/>
      <c r="D42" s="42">
        <f>SUM(D36:D41)</f>
        <v>200</v>
      </c>
    </row>
  </sheetData>
  <mergeCells count="11">
    <mergeCell ref="B11:D11"/>
    <mergeCell ref="B12:C12"/>
    <mergeCell ref="B13:C13"/>
    <mergeCell ref="B14:C14"/>
    <mergeCell ref="B16:D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00000000-0002-0000-0000-000000000000}">
      <formula1>"Conservador,Moderado,Agressivo"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0"/>
  <sheetViews>
    <sheetView workbookViewId="0">
      <selection activeCell="A2" sqref="A2:D2"/>
    </sheetView>
  </sheetViews>
  <sheetFormatPr defaultColWidth="8.875" defaultRowHeight="14.25" x14ac:dyDescent="0.2"/>
  <cols>
    <col min="1" max="1" width="29.7421875" customWidth="1"/>
    <col min="2" max="2" width="11.6875" customWidth="1"/>
    <col min="3" max="3" width="18.19921875" customWidth="1"/>
    <col min="7" max="7" width="16.71875" customWidth="1"/>
  </cols>
  <sheetData>
    <row r="2" spans="1:8" x14ac:dyDescent="0.2">
      <c r="A2" s="1" t="s">
        <v>29</v>
      </c>
      <c r="B2" s="1" t="s">
        <v>17</v>
      </c>
      <c r="C2" s="1" t="s">
        <v>20</v>
      </c>
      <c r="D2" s="2" t="s">
        <v>30</v>
      </c>
    </row>
    <row r="3" spans="1:8" x14ac:dyDescent="0.2">
      <c r="A3" t="str">
        <f t="shared" ref="A3:A8" si="0">B3&amp;"-"&amp;C3</f>
        <v>Conservador-PAPEL</v>
      </c>
      <c r="B3" t="s">
        <v>31</v>
      </c>
      <c r="C3" s="3" t="s">
        <v>23</v>
      </c>
      <c r="D3" s="4">
        <v>0.3</v>
      </c>
    </row>
    <row r="4" spans="1:8" x14ac:dyDescent="0.2">
      <c r="A4" t="str">
        <f t="shared" si="0"/>
        <v>Conservador-TIJOLO</v>
      </c>
      <c r="B4" t="s">
        <v>31</v>
      </c>
      <c r="C4" s="3" t="s">
        <v>24</v>
      </c>
      <c r="D4" s="4">
        <v>0.5</v>
      </c>
      <c r="H4" t="s">
        <v>30</v>
      </c>
    </row>
    <row r="5" spans="1:8" ht="15" x14ac:dyDescent="0.2">
      <c r="A5" t="str">
        <f t="shared" si="0"/>
        <v>Conservador-HÍBRIDOS</v>
      </c>
      <c r="B5" t="s">
        <v>31</v>
      </c>
      <c r="C5" s="3" t="s">
        <v>25</v>
      </c>
      <c r="D5" s="4">
        <v>0.1</v>
      </c>
      <c r="G5" s="5" t="s">
        <v>32</v>
      </c>
      <c r="H5" s="6">
        <f>VLOOKUP(G5,$A:$D,4,FALSE)</f>
        <v>0.35</v>
      </c>
    </row>
    <row r="6" spans="1:8" x14ac:dyDescent="0.2">
      <c r="A6" t="str">
        <f t="shared" si="0"/>
        <v>Conservador-FOFs</v>
      </c>
      <c r="B6" t="s">
        <v>31</v>
      </c>
      <c r="C6" s="3" t="s">
        <v>26</v>
      </c>
      <c r="D6" s="4">
        <v>0.1</v>
      </c>
    </row>
    <row r="7" spans="1:8" x14ac:dyDescent="0.2">
      <c r="A7" t="str">
        <f t="shared" si="0"/>
        <v>Conservador-DESENVOLVIMENTO</v>
      </c>
      <c r="B7" t="s">
        <v>31</v>
      </c>
      <c r="C7" s="3" t="s">
        <v>27</v>
      </c>
      <c r="D7" s="4">
        <v>0</v>
      </c>
    </row>
    <row r="8" spans="1:8" x14ac:dyDescent="0.2">
      <c r="A8" s="7" t="str">
        <f t="shared" si="0"/>
        <v>Conservador-HOTELARIAS</v>
      </c>
      <c r="B8" s="7" t="s">
        <v>31</v>
      </c>
      <c r="C8" s="8" t="s">
        <v>28</v>
      </c>
      <c r="D8" s="9">
        <v>0</v>
      </c>
    </row>
    <row r="9" spans="1:8" x14ac:dyDescent="0.2">
      <c r="A9" t="str">
        <f t="shared" ref="A9:A20" si="1">B9&amp;"-"&amp;C9</f>
        <v>Moderado-PAPEL</v>
      </c>
      <c r="B9" t="s">
        <v>18</v>
      </c>
      <c r="C9" s="3" t="s">
        <v>23</v>
      </c>
      <c r="D9" s="4">
        <v>0.32</v>
      </c>
    </row>
    <row r="10" spans="1:8" x14ac:dyDescent="0.2">
      <c r="A10" s="10" t="str">
        <f t="shared" si="1"/>
        <v>Moderado-TIJOLO</v>
      </c>
      <c r="B10" s="10" t="s">
        <v>18</v>
      </c>
      <c r="C10" s="11" t="s">
        <v>24</v>
      </c>
      <c r="D10" s="12">
        <v>0.35</v>
      </c>
    </row>
    <row r="11" spans="1:8" x14ac:dyDescent="0.2">
      <c r="A11" t="str">
        <f t="shared" si="1"/>
        <v>Moderado-HÍBRIDOS</v>
      </c>
      <c r="B11" t="s">
        <v>18</v>
      </c>
      <c r="C11" s="3" t="s">
        <v>25</v>
      </c>
      <c r="D11" s="4">
        <v>0.08</v>
      </c>
    </row>
    <row r="12" spans="1:8" x14ac:dyDescent="0.2">
      <c r="A12" t="str">
        <f t="shared" si="1"/>
        <v>Moderado-FOFs</v>
      </c>
      <c r="B12" t="s">
        <v>18</v>
      </c>
      <c r="C12" s="3" t="s">
        <v>26</v>
      </c>
      <c r="D12" s="4">
        <v>0.05</v>
      </c>
    </row>
    <row r="13" spans="1:8" x14ac:dyDescent="0.2">
      <c r="A13" t="str">
        <f t="shared" si="1"/>
        <v>Moderado-DESENVOLVIMENTO</v>
      </c>
      <c r="B13" t="s">
        <v>18</v>
      </c>
      <c r="C13" s="3" t="s">
        <v>27</v>
      </c>
      <c r="D13" s="4">
        <v>0.1</v>
      </c>
    </row>
    <row r="14" spans="1:8" x14ac:dyDescent="0.2">
      <c r="A14" s="7" t="str">
        <f t="shared" si="1"/>
        <v>Moderado-HOTELARIAS</v>
      </c>
      <c r="B14" s="7" t="s">
        <v>18</v>
      </c>
      <c r="C14" s="8" t="s">
        <v>28</v>
      </c>
      <c r="D14" s="9">
        <v>0.1</v>
      </c>
    </row>
    <row r="15" spans="1:8" x14ac:dyDescent="0.2">
      <c r="A15" t="str">
        <f t="shared" si="1"/>
        <v>Agressivo-PAPEL</v>
      </c>
      <c r="B15" t="s">
        <v>33</v>
      </c>
      <c r="C15" s="3" t="s">
        <v>23</v>
      </c>
      <c r="D15" s="4">
        <v>0.5</v>
      </c>
    </row>
    <row r="16" spans="1:8" x14ac:dyDescent="0.2">
      <c r="A16" t="str">
        <f t="shared" si="1"/>
        <v>Agressivo-TIJOLO</v>
      </c>
      <c r="B16" t="s">
        <v>33</v>
      </c>
      <c r="C16" s="3" t="s">
        <v>24</v>
      </c>
      <c r="D16" s="4">
        <v>0.1</v>
      </c>
    </row>
    <row r="17" spans="1:4" x14ac:dyDescent="0.2">
      <c r="A17" t="str">
        <f t="shared" si="1"/>
        <v>Agressivo-HÍBRIDOS</v>
      </c>
      <c r="B17" t="s">
        <v>33</v>
      </c>
      <c r="C17" s="3" t="s">
        <v>25</v>
      </c>
      <c r="D17" s="4">
        <v>0.05</v>
      </c>
    </row>
    <row r="18" spans="1:4" x14ac:dyDescent="0.2">
      <c r="A18" t="str">
        <f t="shared" si="1"/>
        <v>Agressivo-FOFs</v>
      </c>
      <c r="B18" t="s">
        <v>33</v>
      </c>
      <c r="C18" s="3" t="s">
        <v>26</v>
      </c>
      <c r="D18" s="4">
        <v>0.05</v>
      </c>
    </row>
    <row r="19" spans="1:4" x14ac:dyDescent="0.2">
      <c r="A19" t="str">
        <f t="shared" si="1"/>
        <v>Agressivo-DESENVOLVIMENTO</v>
      </c>
      <c r="B19" t="s">
        <v>33</v>
      </c>
      <c r="C19" s="3" t="s">
        <v>27</v>
      </c>
      <c r="D19" s="4">
        <v>0.2</v>
      </c>
    </row>
    <row r="20" spans="1:4" x14ac:dyDescent="0.2">
      <c r="A20" t="str">
        <f t="shared" si="1"/>
        <v>Agressivo-HOTELARIAS</v>
      </c>
      <c r="B20" t="s">
        <v>33</v>
      </c>
      <c r="C20" s="3" t="s">
        <v>28</v>
      </c>
      <c r="D20" s="4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ny223</dc:creator>
  <cp:keywords/>
  <dc:description/>
  <cp:lastModifiedBy>Maria Anny</cp:lastModifiedBy>
  <cp:revision/>
  <dcterms:created xsi:type="dcterms:W3CDTF">2026-01-01T22:06:00Z</dcterms:created>
  <dcterms:modified xsi:type="dcterms:W3CDTF">2026-01-03T00:51:28Z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79ED87E0E16747B5A9DC05DFF6BA195C_13</vt:lpwstr>
  </property>
  <property fmtid="{D5CDD505-2E9C-101B-9397-08002B2CF9AE}" pid="3" name="KSOProductBuildVer">
    <vt:lpwstr>1046-12.2.0.23196</vt:lpwstr>
  </property>
</Properties>
</file>